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OneDrive\Desktop\SCHOOL FILES\ERASMUS MUNDUS RADMEP\UJM\Laser Physics\Laboratory\Lab 5 - Multimode Silica Fiber\"/>
    </mc:Choice>
  </mc:AlternateContent>
  <xr:revisionPtr revIDLastSave="0" documentId="13_ncr:1_{338BA45C-6A3F-463C-B148-4492316CC874}" xr6:coauthVersionLast="47" xr6:coauthVersionMax="47" xr10:uidLastSave="{00000000-0000-0000-0000-000000000000}"/>
  <bookViews>
    <workbookView xWindow="-120" yWindow="-120" windowWidth="20730" windowHeight="11160" firstSheet="2" activeTab="5" xr2:uid="{C3CF2E6E-EF09-452F-9320-D2AD5D937B64}"/>
  </bookViews>
  <sheets>
    <sheet name="Sheet1" sheetId="1" r:id="rId1"/>
    <sheet name="5.4.3 - Initial Measurement" sheetId="2" r:id="rId2"/>
    <sheet name="5.4.3 - 2nd measurement" sheetId="3" r:id="rId3"/>
    <sheet name="5.4.4" sheetId="4" r:id="rId4"/>
    <sheet name="5.5.2" sheetId="5" r:id="rId5"/>
    <sheet name="5.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/>
  <c r="C30" i="5"/>
  <c r="D30" i="5" s="1"/>
  <c r="C31" i="5"/>
  <c r="D31" i="5" s="1"/>
  <c r="C32" i="5"/>
  <c r="D32" i="5"/>
  <c r="C33" i="5"/>
  <c r="D33" i="5"/>
  <c r="C34" i="5"/>
  <c r="D34" i="5" s="1"/>
  <c r="C35" i="5"/>
  <c r="D35" i="5" s="1"/>
  <c r="C36" i="5"/>
  <c r="D36" i="5"/>
  <c r="E36" i="5"/>
  <c r="C37" i="5"/>
  <c r="D37" i="5"/>
  <c r="C38" i="5"/>
  <c r="D38" i="5" s="1"/>
  <c r="C39" i="5"/>
  <c r="D39" i="5" s="1"/>
  <c r="C40" i="5"/>
  <c r="D40" i="5"/>
  <c r="E40" i="5"/>
  <c r="C41" i="5"/>
  <c r="C42" i="5"/>
  <c r="D42" i="5"/>
  <c r="C29" i="5"/>
  <c r="E29" i="5" s="1"/>
  <c r="A31" i="5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30" i="5"/>
  <c r="C4" i="5"/>
  <c r="C5" i="5"/>
  <c r="D5" i="5" s="1"/>
  <c r="C6" i="5"/>
  <c r="E6" i="5" s="1"/>
  <c r="C7" i="5"/>
  <c r="D7" i="5" s="1"/>
  <c r="C8" i="5"/>
  <c r="C9" i="5"/>
  <c r="C10" i="5"/>
  <c r="D10" i="5" s="1"/>
  <c r="C11" i="5"/>
  <c r="C12" i="5"/>
  <c r="C13" i="5"/>
  <c r="D13" i="5" s="1"/>
  <c r="C14" i="5"/>
  <c r="D14" i="5" s="1"/>
  <c r="C15" i="5"/>
  <c r="D15" i="5" s="1"/>
  <c r="C16" i="5"/>
  <c r="D16" i="5" s="1"/>
  <c r="C17" i="5"/>
  <c r="D17" i="5" s="1"/>
  <c r="C18" i="5"/>
  <c r="E18" i="5" s="1"/>
  <c r="C19" i="5"/>
  <c r="C20" i="5"/>
  <c r="C21" i="5"/>
  <c r="D21" i="5" s="1"/>
  <c r="C22" i="5"/>
  <c r="D22" i="5" s="1"/>
  <c r="C23" i="5"/>
  <c r="E23" i="5" s="1"/>
  <c r="C3" i="5"/>
  <c r="E4" i="5" s="1"/>
  <c r="E14" i="5"/>
  <c r="E20" i="5"/>
  <c r="E3" i="5"/>
  <c r="D4" i="5"/>
  <c r="D8" i="5"/>
  <c r="D9" i="5"/>
  <c r="D12" i="5"/>
  <c r="D18" i="5"/>
  <c r="D20" i="5"/>
  <c r="D3" i="5"/>
  <c r="A20" i="5"/>
  <c r="A21" i="5" s="1"/>
  <c r="A22" i="5" s="1"/>
  <c r="A23" i="5" s="1"/>
  <c r="A16" i="5"/>
  <c r="A17" i="5" s="1"/>
  <c r="A18" i="5" s="1"/>
  <c r="A19" i="5" s="1"/>
  <c r="A13" i="5"/>
  <c r="A14" i="5" s="1"/>
  <c r="A15" i="5" s="1"/>
  <c r="A5" i="5"/>
  <c r="A6" i="5" s="1"/>
  <c r="A7" i="5" s="1"/>
  <c r="A8" i="5" s="1"/>
  <c r="A9" i="5" s="1"/>
  <c r="A10" i="5" s="1"/>
  <c r="A11" i="5" s="1"/>
  <c r="A12" i="5" s="1"/>
  <c r="A4" i="5"/>
  <c r="J2" i="5"/>
  <c r="C2" i="3"/>
  <c r="C3" i="3"/>
  <c r="C4" i="3"/>
  <c r="C5" i="3"/>
  <c r="C6" i="3"/>
  <c r="D4" i="4"/>
  <c r="D3" i="4"/>
  <c r="D2" i="4"/>
  <c r="A3" i="3"/>
  <c r="A4" i="3" s="1"/>
  <c r="A5" i="3" s="1"/>
  <c r="A6" i="3" s="1"/>
  <c r="A3" i="2"/>
  <c r="A4" i="2" s="1"/>
  <c r="A5" i="2" s="1"/>
  <c r="A6" i="2" s="1"/>
  <c r="A6" i="1"/>
  <c r="A5" i="1"/>
  <c r="A4" i="1"/>
  <c r="A3" i="1"/>
  <c r="E22" i="5" l="1"/>
  <c r="D6" i="5"/>
  <c r="E32" i="5"/>
  <c r="E37" i="5"/>
  <c r="E33" i="5"/>
  <c r="E19" i="5"/>
  <c r="E11" i="5"/>
  <c r="E42" i="5"/>
  <c r="E21" i="5"/>
  <c r="E10" i="5"/>
  <c r="E41" i="5"/>
  <c r="D41" i="5"/>
  <c r="E38" i="5"/>
  <c r="E34" i="5"/>
  <c r="E30" i="5"/>
  <c r="E39" i="5"/>
  <c r="E35" i="5"/>
  <c r="E31" i="5"/>
  <c r="D29" i="5"/>
  <c r="E15" i="5"/>
  <c r="E7" i="5"/>
  <c r="D23" i="5"/>
  <c r="D19" i="5"/>
  <c r="D11" i="5"/>
  <c r="E17" i="5"/>
  <c r="E13" i="5"/>
  <c r="E9" i="5"/>
  <c r="E5" i="5"/>
  <c r="E16" i="5"/>
  <c r="E12" i="5"/>
  <c r="E8" i="5"/>
</calcChain>
</file>

<file path=xl/sharedStrings.xml><?xml version="1.0" encoding="utf-8"?>
<sst xmlns="http://schemas.openxmlformats.org/spreadsheetml/2006/main" count="43" uniqueCount="28">
  <si>
    <t>Power [uW]</t>
  </si>
  <si>
    <t>Distance [cm]</t>
  </si>
  <si>
    <t>Distance [mm]</t>
  </si>
  <si>
    <t>Notes</t>
  </si>
  <si>
    <t>fluctuating between 667 and 674 so 670</t>
  </si>
  <si>
    <t>Maximum Power before 5.4.3 (uW)</t>
  </si>
  <si>
    <t>665-675</t>
  </si>
  <si>
    <t>Power [uW] - average</t>
  </si>
  <si>
    <t>660-670</t>
  </si>
  <si>
    <t>650-</t>
  </si>
  <si>
    <t>Note(s)</t>
  </si>
  <si>
    <t>Take the minimum or lowest of the observed power meter values, if possible</t>
  </si>
  <si>
    <t>Diameter [mm]</t>
  </si>
  <si>
    <t>After this measurement, the maximum or the power has reached 678 uW.</t>
  </si>
  <si>
    <t>Loss [dB]</t>
  </si>
  <si>
    <t>D [cm]</t>
  </si>
  <si>
    <t>d [cm]</t>
  </si>
  <si>
    <t>Trial</t>
  </si>
  <si>
    <t>sin(theta)</t>
  </si>
  <si>
    <t>Average</t>
  </si>
  <si>
    <t>hard to make it since it's just an estimation</t>
  </si>
  <si>
    <t>Transverse</t>
  </si>
  <si>
    <t>P0 [uW]</t>
  </si>
  <si>
    <t>Distance [microns]</t>
  </si>
  <si>
    <t>Insertion Loss</t>
  </si>
  <si>
    <t>Excess Loss [dB]</t>
  </si>
  <si>
    <t>Longitudinal</t>
  </si>
  <si>
    <t>saturation because no more light being detected/limited by the numerical aperture of the fiber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</si>
</sst>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'5.4.3 - 2nd measurement'!$B$1</c:f>
              <c:strCache>
                <c:ptCount val="1"/>
                <c:pt idx="0">
                  <c:v>Power [uW]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'5.4.3 - 2nd measurement'!$A$2:$A$6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xVal>
          <c:yVal>
            <c:numRef>
              <c:f>'5.4.3 - 2nd measurement'!$B$2:$B$6</c:f>
              <c:numCache>
                <c:formatCode>General</c:formatCode>
                <c:ptCount val="5"/>
                <c:pt idx="0">
                  <c:v>653</c:v>
                </c:pt>
                <c:pt idx="1">
                  <c:v>659</c:v>
                </c:pt>
                <c:pt idx="2">
                  <c:v>660</c:v>
                </c:pt>
                <c:pt idx="3">
                  <c:v>663</c:v>
                </c:pt>
                <c:pt idx="4">
                  <c:v>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64-442C-B166-06BD9E678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587280"/>
        <c:axId val="1120592080"/>
      </c:scatterChart>
      <c:valAx>
        <c:axId val="112058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592080"/>
        <c:crosses val="autoZero"/>
        <c:crossBetween val="midCat"/>
      </c:valAx>
      <c:valAx>
        <c:axId val="112059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58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Loss vs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'5.4.3 - 2nd measurement'!$A$2:$A$6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xVal>
          <c:yVal>
            <c:numRef>
              <c:f>'5.4.3 - 2nd measurement'!$C$2:$C$6</c:f>
              <c:numCache>
                <c:formatCode>General</c:formatCode>
                <c:ptCount val="5"/>
                <c:pt idx="0">
                  <c:v>5.9448081646260365E-2</c:v>
                </c:pt>
                <c:pt idx="1">
                  <c:v>1.9725748456900803E-2</c:v>
                </c:pt>
                <c:pt idx="2">
                  <c:v>1.3140538978312495E-2</c:v>
                </c:pt>
                <c:pt idx="3">
                  <c:v>-6.5553896507321982E-3</c:v>
                </c:pt>
                <c:pt idx="4">
                  <c:v>-1.9636558634046231E-2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C4-4D44-8BD2-09A945C8A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4351088"/>
        <c:axId val="1184351568"/>
      </c:scatterChart>
      <c:valAx>
        <c:axId val="118435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Distance [mm]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351568"/>
        <c:crosses val="autoZero"/>
        <c:crossBetween val="midCat"/>
      </c:valAx>
      <c:valAx>
        <c:axId val="118435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Loss</a:t>
                </a:r>
                <a:r>
                  <a:rPr lang="en-GB" baseline="0"/>
                  <a:t> [dB]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35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'5.5.2'!$A$3:$A$23</c:f>
              <c:numCache>
                <c:formatCode>General</c:formatCode>
                <c:ptCount val="2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</c:numCache>
            </c:numRef>
          </c:xVal>
          <c:yVal>
            <c:numRef>
              <c:f>'5.5.2'!$E$3:$E$23</c:f>
              <c:numCache>
                <c:formatCode>General</c:formatCode>
                <c:ptCount val="21"/>
                <c:pt idx="0">
                  <c:v>0</c:v>
                </c:pt>
                <c:pt idx="1">
                  <c:v>0.43757902022158263</c:v>
                </c:pt>
                <c:pt idx="2">
                  <c:v>0.7229846360964064</c:v>
                </c:pt>
                <c:pt idx="3">
                  <c:v>0.80570989575630514</c:v>
                </c:pt>
                <c:pt idx="4">
                  <c:v>0.89004157112493298</c:v>
                </c:pt>
                <c:pt idx="5">
                  <c:v>1.0284738428678273</c:v>
                </c:pt>
                <c:pt idx="6">
                  <c:v>1.6109058639551761</c:v>
                </c:pt>
                <c:pt idx="7">
                  <c:v>2.5003166973229867</c:v>
                </c:pt>
                <c:pt idx="8">
                  <c:v>3.3119148176201141</c:v>
                </c:pt>
                <c:pt idx="9">
                  <c:v>3.8833436789858009</c:v>
                </c:pt>
                <c:pt idx="10">
                  <c:v>4.091845068717002</c:v>
                </c:pt>
                <c:pt idx="11">
                  <c:v>4.6212058205949882</c:v>
                </c:pt>
                <c:pt idx="12">
                  <c:v>5.4130182810712357</c:v>
                </c:pt>
                <c:pt idx="13">
                  <c:v>5.9791724625600704</c:v>
                </c:pt>
                <c:pt idx="14">
                  <c:v>6.6303542484021216</c:v>
                </c:pt>
                <c:pt idx="15">
                  <c:v>7.3211634398351126</c:v>
                </c:pt>
                <c:pt idx="16">
                  <c:v>7.7954099391164933</c:v>
                </c:pt>
                <c:pt idx="17">
                  <c:v>8.0534825751793484</c:v>
                </c:pt>
                <c:pt idx="18">
                  <c:v>8.52091661060261</c:v>
                </c:pt>
                <c:pt idx="19">
                  <c:v>8.7229504714854791</c:v>
                </c:pt>
                <c:pt idx="20">
                  <c:v>9.2151306981872967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3B-4708-B7FF-854162803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630704"/>
        <c:axId val="1176633104"/>
      </c:scatterChart>
      <c:valAx>
        <c:axId val="117663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633104"/>
        <c:crosses val="autoZero"/>
        <c:crossBetween val="midCat"/>
      </c:valAx>
      <c:valAx>
        <c:axId val="117663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630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'5.5.2'!$A$29:$A$42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'5.5.2'!$E$29:$E$42</c:f>
              <c:numCache>
                <c:formatCode>General</c:formatCode>
                <c:ptCount val="14"/>
                <c:pt idx="0">
                  <c:v>0</c:v>
                </c:pt>
                <c:pt idx="1">
                  <c:v>9.5453179062303883E-2</c:v>
                </c:pt>
                <c:pt idx="2">
                  <c:v>8.4321389613970545</c:v>
                </c:pt>
                <c:pt idx="3">
                  <c:v>36.21365146523349</c:v>
                </c:pt>
                <c:pt idx="4">
                  <c:v>51.236817328887973</c:v>
                </c:pt>
                <c:pt idx="5">
                  <c:v>61.390113648700094</c:v>
                </c:pt>
                <c:pt idx="6">
                  <c:v>65.623872865640109</c:v>
                </c:pt>
                <c:pt idx="7">
                  <c:v>66.989700043360187</c:v>
                </c:pt>
                <c:pt idx="8">
                  <c:v>67.436797393055002</c:v>
                </c:pt>
                <c:pt idx="9">
                  <c:v>67.596678446896306</c:v>
                </c:pt>
                <c:pt idx="10">
                  <c:v>67.596678446896306</c:v>
                </c:pt>
                <c:pt idx="11">
                  <c:v>67.706632289910942</c:v>
                </c:pt>
                <c:pt idx="12">
                  <c:v>67.489439792978573</c:v>
                </c:pt>
                <c:pt idx="13">
                  <c:v>67.706632289910942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D6-4C7B-8D01-998060151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495328"/>
        <c:axId val="1189495808"/>
      </c:scatterChart>
      <c:valAx>
        <c:axId val="118949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495808"/>
        <c:crosses val="autoZero"/>
        <c:crossBetween val="midCat"/>
      </c:valAx>
      <c:valAx>
        <c:axId val="118949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495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1</xdr:row>
      <xdr:rowOff>157162</xdr:rowOff>
    </xdr:from>
    <xdr:to>
      <xdr:col>10</xdr:col>
      <xdr:colOff>1028700</xdr:colOff>
      <xdr:row>11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FD586E-FBB9-F245-9006-5E292B3170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450575</xdr:colOff>
      <xdr:row>8</xdr:row>
      <xdr:rowOff>340830</xdr:rowOff>
    </xdr:from>
    <xdr:to>
      <xdr:col>4</xdr:col>
      <xdr:colOff>1775792</xdr:colOff>
      <xdr:row>20</xdr:row>
      <xdr:rowOff>36030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DC4562-DACF-869B-D168-A3E04ABBF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547687</xdr:colOff>
      <xdr:row>6</xdr:row>
      <xdr:rowOff>71437</xdr:rowOff>
    </xdr:from>
    <xdr:to>
      <xdr:col>12</xdr:col>
      <xdr:colOff>566737</xdr:colOff>
      <xdr:row>20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04CE09-1C44-F635-8228-B4D4560E91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500062</xdr:colOff>
      <xdr:row>28</xdr:row>
      <xdr:rowOff>52387</xdr:rowOff>
    </xdr:from>
    <xdr:to>
      <xdr:col>12</xdr:col>
      <xdr:colOff>519112</xdr:colOff>
      <xdr:row>42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409D37-0FE5-6AFF-7BC4-BF750C350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F6A5E-97BF-4D0C-8A46-B0AE3411EEBD}">
  <dimension ref="A1:B6"/>
  <sheetViews>
    <sheetView workbookViewId="0">
      <selection sqref="A1:B6"/>
    </sheetView>
  </sheetViews>
  <sheetFormatPr defaultRowHeight="15" x14ac:dyDescent="0.25"/>
  <cols>
    <col min="1" max="1" width="14.42578125" customWidth="1"/>
    <col min="2" max="2" width="12.5703125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>
        <v>5</v>
      </c>
    </row>
    <row r="3" spans="1:2" x14ac:dyDescent="0.25">
      <c r="A3">
        <f>A2+5</f>
        <v>10</v>
      </c>
    </row>
    <row r="4" spans="1:2" x14ac:dyDescent="0.25">
      <c r="A4">
        <f t="shared" ref="A4:A6" si="0">A3+5</f>
        <v>15</v>
      </c>
    </row>
    <row r="5" spans="1:2" x14ac:dyDescent="0.25">
      <c r="A5">
        <f t="shared" si="0"/>
        <v>20</v>
      </c>
    </row>
    <row r="6" spans="1:2" x14ac:dyDescent="0.25">
      <c r="A6">
        <f t="shared" si="0"/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C3B0-47ED-464E-9908-A4BF6B2F20BD}">
  <dimension ref="A1:L6"/>
  <sheetViews>
    <sheetView workbookViewId="0">
      <selection activeCell="C12" sqref="C12"/>
    </sheetView>
  </sheetViews>
  <sheetFormatPr defaultRowHeight="15" x14ac:dyDescent="0.25"/>
  <cols>
    <col min="1" max="1" width="13.7109375" bestFit="1" customWidth="1"/>
    <col min="2" max="2" width="11.42578125" bestFit="1" customWidth="1"/>
    <col min="3" max="3" width="20.28515625" bestFit="1" customWidth="1"/>
    <col min="4" max="4" width="35.7109375" bestFit="1" customWidth="1"/>
    <col min="10" max="10" width="32.85546875" bestFit="1" customWidth="1"/>
  </cols>
  <sheetData>
    <row r="1" spans="1:12" x14ac:dyDescent="0.25">
      <c r="A1" s="1" t="s">
        <v>2</v>
      </c>
      <c r="B1" s="1" t="s">
        <v>0</v>
      </c>
      <c r="C1" s="1" t="s">
        <v>7</v>
      </c>
      <c r="D1" s="1" t="s">
        <v>3</v>
      </c>
      <c r="J1" s="1" t="s">
        <v>5</v>
      </c>
    </row>
    <row r="2" spans="1:12" x14ac:dyDescent="0.25">
      <c r="A2">
        <v>5</v>
      </c>
      <c r="B2" t="s">
        <v>9</v>
      </c>
      <c r="J2">
        <v>662</v>
      </c>
      <c r="K2" s="1"/>
      <c r="L2" s="1"/>
    </row>
    <row r="3" spans="1:12" x14ac:dyDescent="0.25">
      <c r="A3">
        <f>A2+5</f>
        <v>10</v>
      </c>
      <c r="B3" t="s">
        <v>8</v>
      </c>
    </row>
    <row r="4" spans="1:12" x14ac:dyDescent="0.25">
      <c r="A4">
        <f t="shared" ref="A4:A6" si="0">A3+5</f>
        <v>15</v>
      </c>
      <c r="B4" t="s">
        <v>6</v>
      </c>
    </row>
    <row r="5" spans="1:12" x14ac:dyDescent="0.25">
      <c r="A5">
        <f t="shared" si="0"/>
        <v>20</v>
      </c>
      <c r="B5">
        <v>672</v>
      </c>
    </row>
    <row r="6" spans="1:12" x14ac:dyDescent="0.25">
      <c r="A6">
        <f t="shared" si="0"/>
        <v>25</v>
      </c>
      <c r="B6">
        <v>670</v>
      </c>
      <c r="D6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BF0CA-0D6F-462F-A6C7-8C40838B15A8}">
  <dimension ref="A1:M10"/>
  <sheetViews>
    <sheetView topLeftCell="B7" zoomScaleNormal="100" workbookViewId="0">
      <selection activeCell="C2" sqref="C2"/>
    </sheetView>
  </sheetViews>
  <sheetFormatPr defaultRowHeight="15" x14ac:dyDescent="0.25"/>
  <cols>
    <col min="1" max="1" width="13.7109375" bestFit="1" customWidth="1"/>
    <col min="2" max="3" width="28.42578125" style="3" customWidth="1"/>
    <col min="4" max="4" width="20.28515625" bestFit="1" customWidth="1"/>
    <col min="5" max="5" width="35.7109375" bestFit="1" customWidth="1"/>
    <col min="11" max="11" width="32.85546875" bestFit="1" customWidth="1"/>
  </cols>
  <sheetData>
    <row r="1" spans="1:13" x14ac:dyDescent="0.25">
      <c r="A1" s="1" t="s">
        <v>12</v>
      </c>
      <c r="B1" s="2" t="s">
        <v>0</v>
      </c>
      <c r="C1" s="2" t="s">
        <v>14</v>
      </c>
      <c r="D1" s="1" t="s">
        <v>7</v>
      </c>
      <c r="E1" s="1" t="s">
        <v>3</v>
      </c>
      <c r="K1" s="1" t="s">
        <v>5</v>
      </c>
    </row>
    <row r="2" spans="1:13" x14ac:dyDescent="0.25">
      <c r="A2">
        <v>5</v>
      </c>
      <c r="B2" s="3">
        <v>653</v>
      </c>
      <c r="C2" s="3">
        <f>-10*LOG10(B2/$K$2)</f>
        <v>5.9448081646260365E-2</v>
      </c>
      <c r="K2">
        <v>662</v>
      </c>
      <c r="L2" s="1"/>
      <c r="M2" s="1"/>
    </row>
    <row r="3" spans="1:13" x14ac:dyDescent="0.25">
      <c r="A3">
        <f>A2+5</f>
        <v>10</v>
      </c>
      <c r="B3" s="3">
        <v>659</v>
      </c>
      <c r="C3" s="3">
        <f t="shared" ref="C3:C6" si="0">-10*LOG10(B3/$K$2)</f>
        <v>1.9725748456900803E-2</v>
      </c>
    </row>
    <row r="4" spans="1:13" x14ac:dyDescent="0.25">
      <c r="A4">
        <f t="shared" ref="A4:A6" si="1">A3+5</f>
        <v>15</v>
      </c>
      <c r="B4" s="3">
        <v>660</v>
      </c>
      <c r="C4" s="3">
        <f t="shared" si="0"/>
        <v>1.3140538978312495E-2</v>
      </c>
    </row>
    <row r="5" spans="1:13" x14ac:dyDescent="0.25">
      <c r="A5">
        <f t="shared" si="1"/>
        <v>20</v>
      </c>
      <c r="B5" s="3">
        <v>663</v>
      </c>
      <c r="C5" s="3">
        <f t="shared" si="0"/>
        <v>-6.5553896507321982E-3</v>
      </c>
    </row>
    <row r="6" spans="1:13" x14ac:dyDescent="0.25">
      <c r="A6">
        <f t="shared" si="1"/>
        <v>25</v>
      </c>
      <c r="B6" s="3">
        <v>665</v>
      </c>
      <c r="C6" s="3">
        <f t="shared" si="0"/>
        <v>-1.9636558634046231E-2</v>
      </c>
    </row>
    <row r="9" spans="1:13" ht="45" x14ac:dyDescent="0.25">
      <c r="A9" t="s">
        <v>10</v>
      </c>
      <c r="B9" s="3" t="s">
        <v>11</v>
      </c>
    </row>
    <row r="10" spans="1:13" ht="45" x14ac:dyDescent="0.25">
      <c r="B10" s="2" t="s">
        <v>13</v>
      </c>
      <c r="C10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29E3D-1305-4FC0-9F39-41DACD95F5A6}">
  <dimension ref="A1:F4"/>
  <sheetViews>
    <sheetView workbookViewId="0">
      <selection activeCell="F3" sqref="F3"/>
    </sheetView>
  </sheetViews>
  <sheetFormatPr defaultRowHeight="15" x14ac:dyDescent="0.25"/>
  <cols>
    <col min="4" max="4" width="9.85546875" bestFit="1" customWidth="1"/>
  </cols>
  <sheetData>
    <row r="1" spans="1:6" x14ac:dyDescent="0.25">
      <c r="A1" s="1" t="s">
        <v>17</v>
      </c>
      <c r="B1" s="1" t="s">
        <v>16</v>
      </c>
      <c r="C1" s="1" t="s">
        <v>15</v>
      </c>
      <c r="D1" s="1" t="s">
        <v>18</v>
      </c>
    </row>
    <row r="2" spans="1:6" x14ac:dyDescent="0.25">
      <c r="A2">
        <v>1</v>
      </c>
      <c r="B2">
        <v>3</v>
      </c>
      <c r="C2">
        <v>0.9</v>
      </c>
      <c r="D2">
        <f>C2/(2*B2)</f>
        <v>0.15</v>
      </c>
      <c r="F2" t="s">
        <v>20</v>
      </c>
    </row>
    <row r="3" spans="1:6" x14ac:dyDescent="0.25">
      <c r="A3">
        <v>2</v>
      </c>
      <c r="B3">
        <v>4.3</v>
      </c>
      <c r="C3">
        <v>1.1000000000000001</v>
      </c>
      <c r="D3">
        <f t="shared" ref="D3" si="0">C3/(2*B3)</f>
        <v>0.12790697674418605</v>
      </c>
    </row>
    <row r="4" spans="1:6" x14ac:dyDescent="0.25">
      <c r="A4" s="1" t="s">
        <v>19</v>
      </c>
      <c r="D4">
        <f>AVERAGE(D2:D3)</f>
        <v>0.13895348837209304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0131-3932-46F3-B9FC-DDA923FA2820}">
  <dimension ref="A1:N42"/>
  <sheetViews>
    <sheetView topLeftCell="E21" workbookViewId="0">
      <selection activeCell="N33" sqref="N33"/>
    </sheetView>
  </sheetViews>
  <sheetFormatPr defaultRowHeight="15" x14ac:dyDescent="0.25"/>
  <cols>
    <col min="1" max="1" width="18.42578125" bestFit="1" customWidth="1"/>
    <col min="2" max="2" width="10.85546875" bestFit="1" customWidth="1"/>
    <col min="3" max="3" width="9.28515625" bestFit="1" customWidth="1"/>
    <col min="4" max="4" width="16.140625" bestFit="1" customWidth="1"/>
    <col min="9" max="9" width="13.42578125" bestFit="1" customWidth="1"/>
    <col min="14" max="14" width="40.140625" customWidth="1"/>
  </cols>
  <sheetData>
    <row r="1" spans="1:10" ht="15.75" thickBot="1" x14ac:dyDescent="0.3">
      <c r="A1" s="4" t="s">
        <v>26</v>
      </c>
      <c r="B1" s="5"/>
      <c r="C1" s="5" t="s">
        <v>22</v>
      </c>
      <c r="D1" s="6">
        <v>347</v>
      </c>
      <c r="I1" s="5" t="s">
        <v>22</v>
      </c>
      <c r="J1" s="6">
        <v>625</v>
      </c>
    </row>
    <row r="2" spans="1:10" x14ac:dyDescent="0.25">
      <c r="A2" s="1" t="s">
        <v>23</v>
      </c>
      <c r="B2" s="1" t="s">
        <v>0</v>
      </c>
      <c r="C2" s="1" t="s">
        <v>14</v>
      </c>
      <c r="D2" s="1" t="s">
        <v>25</v>
      </c>
      <c r="E2" s="1" t="s">
        <v>25</v>
      </c>
      <c r="I2" t="s">
        <v>24</v>
      </c>
      <c r="J2">
        <f>-10*LOG10(D1/J1)</f>
        <v>2.5555054255320147</v>
      </c>
    </row>
    <row r="3" spans="1:10" x14ac:dyDescent="0.25">
      <c r="A3">
        <v>0</v>
      </c>
      <c r="B3">
        <v>313</v>
      </c>
      <c r="C3">
        <f>-10*LOG10(B3/$B$3)</f>
        <v>0</v>
      </c>
      <c r="D3">
        <f>ABS($J$2-C3)</f>
        <v>2.5555054255320147</v>
      </c>
      <c r="E3">
        <f>ABS($C$3-C3)</f>
        <v>0</v>
      </c>
    </row>
    <row r="4" spans="1:10" x14ac:dyDescent="0.25">
      <c r="A4">
        <f>A3+20</f>
        <v>20</v>
      </c>
      <c r="B4">
        <v>283</v>
      </c>
      <c r="C4">
        <f t="shared" ref="C4:C23" si="0">-10*LOG10(B4/$B$3)</f>
        <v>0.43757902022158263</v>
      </c>
      <c r="D4">
        <f t="shared" ref="D4:D23" si="1">ABS($J$2-C4)</f>
        <v>2.1179264053104321</v>
      </c>
      <c r="E4">
        <f t="shared" ref="E4:E23" si="2">ABS($C$3-C4)</f>
        <v>0.43757902022158263</v>
      </c>
    </row>
    <row r="5" spans="1:10" x14ac:dyDescent="0.25">
      <c r="A5">
        <f t="shared" ref="A5:A27" si="3">A4+20</f>
        <v>40</v>
      </c>
      <c r="B5">
        <v>265</v>
      </c>
      <c r="C5">
        <f t="shared" si="0"/>
        <v>0.7229846360964064</v>
      </c>
      <c r="D5">
        <f t="shared" si="1"/>
        <v>1.8325207894356081</v>
      </c>
      <c r="E5">
        <f t="shared" si="2"/>
        <v>0.7229846360964064</v>
      </c>
    </row>
    <row r="6" spans="1:10" x14ac:dyDescent="0.25">
      <c r="A6">
        <f t="shared" si="3"/>
        <v>60</v>
      </c>
      <c r="B6">
        <v>260</v>
      </c>
      <c r="C6">
        <f t="shared" si="0"/>
        <v>0.80570989575630514</v>
      </c>
      <c r="D6">
        <f t="shared" si="1"/>
        <v>1.7497955297757095</v>
      </c>
      <c r="E6">
        <f t="shared" si="2"/>
        <v>0.80570989575630514</v>
      </c>
    </row>
    <row r="7" spans="1:10" x14ac:dyDescent="0.25">
      <c r="A7">
        <f t="shared" si="3"/>
        <v>80</v>
      </c>
      <c r="B7">
        <v>255</v>
      </c>
      <c r="C7">
        <f t="shared" si="0"/>
        <v>0.89004157112493298</v>
      </c>
      <c r="D7">
        <f t="shared" si="1"/>
        <v>1.6654638544070817</v>
      </c>
      <c r="E7">
        <f t="shared" si="2"/>
        <v>0.89004157112493298</v>
      </c>
    </row>
    <row r="8" spans="1:10" x14ac:dyDescent="0.25">
      <c r="A8">
        <f t="shared" si="3"/>
        <v>100</v>
      </c>
      <c r="B8">
        <v>247</v>
      </c>
      <c r="C8">
        <f t="shared" si="0"/>
        <v>1.0284738428678273</v>
      </c>
      <c r="D8">
        <f t="shared" si="1"/>
        <v>1.5270315826641874</v>
      </c>
      <c r="E8">
        <f t="shared" si="2"/>
        <v>1.0284738428678273</v>
      </c>
    </row>
    <row r="9" spans="1:10" x14ac:dyDescent="0.25">
      <c r="A9">
        <f t="shared" si="3"/>
        <v>120</v>
      </c>
      <c r="B9">
        <v>216</v>
      </c>
      <c r="C9">
        <f t="shared" si="0"/>
        <v>1.6109058639551761</v>
      </c>
      <c r="D9">
        <f t="shared" si="1"/>
        <v>0.94459956157683855</v>
      </c>
      <c r="E9">
        <f t="shared" si="2"/>
        <v>1.6109058639551761</v>
      </c>
    </row>
    <row r="10" spans="1:10" x14ac:dyDescent="0.25">
      <c r="A10">
        <f t="shared" si="3"/>
        <v>140</v>
      </c>
      <c r="B10">
        <v>176</v>
      </c>
      <c r="C10">
        <f t="shared" si="0"/>
        <v>2.5003166973229867</v>
      </c>
      <c r="D10">
        <f t="shared" si="1"/>
        <v>5.5188728209027982E-2</v>
      </c>
      <c r="E10">
        <f t="shared" si="2"/>
        <v>2.5003166973229867</v>
      </c>
    </row>
    <row r="11" spans="1:10" x14ac:dyDescent="0.25">
      <c r="A11">
        <f t="shared" si="3"/>
        <v>160</v>
      </c>
      <c r="B11">
        <v>146</v>
      </c>
      <c r="C11">
        <f t="shared" si="0"/>
        <v>3.3119148176201141</v>
      </c>
      <c r="D11">
        <f t="shared" si="1"/>
        <v>0.75640939208809943</v>
      </c>
      <c r="E11">
        <f t="shared" si="2"/>
        <v>3.3119148176201141</v>
      </c>
    </row>
    <row r="12" spans="1:10" x14ac:dyDescent="0.25">
      <c r="A12">
        <f t="shared" si="3"/>
        <v>180</v>
      </c>
      <c r="B12">
        <v>128</v>
      </c>
      <c r="C12">
        <f t="shared" si="0"/>
        <v>3.8833436789858009</v>
      </c>
      <c r="D12">
        <f t="shared" si="1"/>
        <v>1.3278382534537863</v>
      </c>
      <c r="E12">
        <f t="shared" si="2"/>
        <v>3.8833436789858009</v>
      </c>
    </row>
    <row r="13" spans="1:10" x14ac:dyDescent="0.25">
      <c r="A13">
        <f t="shared" si="3"/>
        <v>200</v>
      </c>
      <c r="B13">
        <v>122</v>
      </c>
      <c r="C13">
        <f t="shared" si="0"/>
        <v>4.091845068717002</v>
      </c>
      <c r="D13">
        <f t="shared" si="1"/>
        <v>1.5363396431849874</v>
      </c>
      <c r="E13">
        <f t="shared" si="2"/>
        <v>4.091845068717002</v>
      </c>
    </row>
    <row r="14" spans="1:10" x14ac:dyDescent="0.25">
      <c r="A14">
        <f t="shared" si="3"/>
        <v>220</v>
      </c>
      <c r="B14">
        <v>108</v>
      </c>
      <c r="C14">
        <f t="shared" si="0"/>
        <v>4.6212058205949882</v>
      </c>
      <c r="D14">
        <f t="shared" si="1"/>
        <v>2.0657003950629735</v>
      </c>
      <c r="E14">
        <f t="shared" si="2"/>
        <v>4.6212058205949882</v>
      </c>
    </row>
    <row r="15" spans="1:10" x14ac:dyDescent="0.25">
      <c r="A15">
        <f t="shared" si="3"/>
        <v>240</v>
      </c>
      <c r="B15">
        <v>90</v>
      </c>
      <c r="C15">
        <f t="shared" si="0"/>
        <v>5.4130182810712357</v>
      </c>
      <c r="D15">
        <f t="shared" si="1"/>
        <v>2.8575128555392211</v>
      </c>
      <c r="E15">
        <f t="shared" si="2"/>
        <v>5.4130182810712357</v>
      </c>
    </row>
    <row r="16" spans="1:10" x14ac:dyDescent="0.25">
      <c r="A16">
        <f t="shared" si="3"/>
        <v>260</v>
      </c>
      <c r="B16">
        <v>79</v>
      </c>
      <c r="C16">
        <f t="shared" si="0"/>
        <v>5.9791724625600704</v>
      </c>
      <c r="D16">
        <f t="shared" si="1"/>
        <v>3.4236670370280557</v>
      </c>
      <c r="E16">
        <f t="shared" si="2"/>
        <v>5.9791724625600704</v>
      </c>
    </row>
    <row r="17" spans="1:14" x14ac:dyDescent="0.25">
      <c r="A17">
        <f t="shared" si="3"/>
        <v>280</v>
      </c>
      <c r="B17">
        <v>68</v>
      </c>
      <c r="C17">
        <f t="shared" si="0"/>
        <v>6.6303542484021216</v>
      </c>
      <c r="D17">
        <f t="shared" si="1"/>
        <v>4.0748488228701074</v>
      </c>
      <c r="E17">
        <f t="shared" si="2"/>
        <v>6.6303542484021216</v>
      </c>
    </row>
    <row r="18" spans="1:14" x14ac:dyDescent="0.25">
      <c r="A18">
        <f t="shared" si="3"/>
        <v>300</v>
      </c>
      <c r="B18">
        <v>58</v>
      </c>
      <c r="C18">
        <f t="shared" si="0"/>
        <v>7.3211634398351126</v>
      </c>
      <c r="D18">
        <f t="shared" si="1"/>
        <v>4.7656580143030975</v>
      </c>
      <c r="E18">
        <f t="shared" si="2"/>
        <v>7.3211634398351126</v>
      </c>
    </row>
    <row r="19" spans="1:14" x14ac:dyDescent="0.25">
      <c r="A19">
        <f t="shared" si="3"/>
        <v>320</v>
      </c>
      <c r="B19">
        <v>52</v>
      </c>
      <c r="C19">
        <f t="shared" si="0"/>
        <v>7.7954099391164933</v>
      </c>
      <c r="D19">
        <f t="shared" si="1"/>
        <v>5.2399045135844791</v>
      </c>
      <c r="E19">
        <f t="shared" si="2"/>
        <v>7.7954099391164933</v>
      </c>
    </row>
    <row r="20" spans="1:14" x14ac:dyDescent="0.25">
      <c r="A20">
        <f t="shared" si="3"/>
        <v>340</v>
      </c>
      <c r="B20">
        <v>49</v>
      </c>
      <c r="C20">
        <f t="shared" si="0"/>
        <v>8.0534825751793484</v>
      </c>
      <c r="D20">
        <f t="shared" si="1"/>
        <v>5.4979771496473333</v>
      </c>
      <c r="E20">
        <f t="shared" si="2"/>
        <v>8.0534825751793484</v>
      </c>
    </row>
    <row r="21" spans="1:14" x14ac:dyDescent="0.25">
      <c r="A21">
        <f t="shared" si="3"/>
        <v>360</v>
      </c>
      <c r="B21">
        <v>44</v>
      </c>
      <c r="C21">
        <f t="shared" si="0"/>
        <v>8.52091661060261</v>
      </c>
      <c r="D21">
        <f t="shared" si="1"/>
        <v>5.9654111850705949</v>
      </c>
      <c r="E21">
        <f t="shared" si="2"/>
        <v>8.52091661060261</v>
      </c>
    </row>
    <row r="22" spans="1:14" x14ac:dyDescent="0.25">
      <c r="A22">
        <f t="shared" si="3"/>
        <v>380</v>
      </c>
      <c r="B22">
        <v>42</v>
      </c>
      <c r="C22">
        <f t="shared" si="0"/>
        <v>8.7229504714854791</v>
      </c>
      <c r="D22">
        <f t="shared" si="1"/>
        <v>6.167445045953464</v>
      </c>
      <c r="E22">
        <f t="shared" si="2"/>
        <v>8.7229504714854791</v>
      </c>
    </row>
    <row r="23" spans="1:14" x14ac:dyDescent="0.25">
      <c r="A23">
        <f t="shared" si="3"/>
        <v>400</v>
      </c>
      <c r="B23">
        <v>37.5</v>
      </c>
      <c r="C23">
        <f t="shared" si="0"/>
        <v>9.2151306981872967</v>
      </c>
      <c r="D23">
        <f t="shared" si="1"/>
        <v>6.6596252726552816</v>
      </c>
      <c r="E23">
        <f t="shared" si="2"/>
        <v>9.2151306981872967</v>
      </c>
    </row>
    <row r="26" spans="1:14" ht="15.75" thickBot="1" x14ac:dyDescent="0.3"/>
    <row r="27" spans="1:14" ht="15.75" thickBot="1" x14ac:dyDescent="0.3">
      <c r="A27" s="4" t="s">
        <v>21</v>
      </c>
      <c r="B27" s="5"/>
      <c r="C27" s="5"/>
      <c r="D27" s="6"/>
    </row>
    <row r="28" spans="1:14" x14ac:dyDescent="0.25">
      <c r="A28" s="1" t="s">
        <v>23</v>
      </c>
      <c r="B28" s="1" t="s">
        <v>0</v>
      </c>
      <c r="C28" s="1" t="s">
        <v>14</v>
      </c>
      <c r="D28" s="1" t="s">
        <v>25</v>
      </c>
      <c r="E28" s="1" t="s">
        <v>25</v>
      </c>
    </row>
    <row r="29" spans="1:14" x14ac:dyDescent="0.25">
      <c r="A29">
        <v>0</v>
      </c>
      <c r="B29">
        <v>230</v>
      </c>
      <c r="C29">
        <f>-10*LOG10(B29/$B$29)</f>
        <v>0</v>
      </c>
      <c r="D29">
        <f>ABS($J$2-C29)</f>
        <v>2.5555054255320147</v>
      </c>
      <c r="E29">
        <f>ABS($C$3-C29)</f>
        <v>0</v>
      </c>
    </row>
    <row r="30" spans="1:14" x14ac:dyDescent="0.25">
      <c r="A30">
        <f>A29+20</f>
        <v>20</v>
      </c>
      <c r="B30">
        <v>225</v>
      </c>
      <c r="C30">
        <f t="shared" ref="C30:C42" si="4">-10*LOG10(B30/$B$29)</f>
        <v>9.5453179062303883E-2</v>
      </c>
      <c r="D30">
        <f t="shared" ref="D30:D42" si="5">ABS($J$2-C30)</f>
        <v>2.4600522464697105</v>
      </c>
      <c r="E30">
        <f t="shared" ref="E30:E42" si="6">ABS($C$3-C30)</f>
        <v>9.5453179062303883E-2</v>
      </c>
    </row>
    <row r="31" spans="1:14" x14ac:dyDescent="0.25">
      <c r="A31">
        <f t="shared" ref="A31:A94" si="7">A30+20</f>
        <v>40</v>
      </c>
      <c r="B31">
        <v>33</v>
      </c>
      <c r="C31">
        <f t="shared" si="4"/>
        <v>8.4321389613970545</v>
      </c>
      <c r="D31">
        <f t="shared" si="5"/>
        <v>5.8766335358650394</v>
      </c>
      <c r="E31">
        <f t="shared" si="6"/>
        <v>8.4321389613970545</v>
      </c>
    </row>
    <row r="32" spans="1:14" ht="45" x14ac:dyDescent="0.25">
      <c r="A32">
        <f t="shared" si="7"/>
        <v>60</v>
      </c>
      <c r="B32" s="7">
        <v>5.5E-2</v>
      </c>
      <c r="C32">
        <f t="shared" si="4"/>
        <v>36.21365146523349</v>
      </c>
      <c r="D32">
        <f t="shared" si="5"/>
        <v>33.658146039701478</v>
      </c>
      <c r="E32">
        <f t="shared" si="6"/>
        <v>36.21365146523349</v>
      </c>
      <c r="N32" s="3" t="s">
        <v>27</v>
      </c>
    </row>
    <row r="33" spans="1:5" x14ac:dyDescent="0.25">
      <c r="A33">
        <f t="shared" si="7"/>
        <v>80</v>
      </c>
      <c r="B33" s="7">
        <v>1.73E-3</v>
      </c>
      <c r="C33">
        <f t="shared" si="4"/>
        <v>51.236817328887973</v>
      </c>
      <c r="D33">
        <f t="shared" si="5"/>
        <v>48.681311903355962</v>
      </c>
      <c r="E33">
        <f t="shared" si="6"/>
        <v>51.236817328887973</v>
      </c>
    </row>
    <row r="34" spans="1:5" x14ac:dyDescent="0.25">
      <c r="A34">
        <f t="shared" si="7"/>
        <v>100</v>
      </c>
      <c r="B34" s="7">
        <v>1.6699999999999999E-4</v>
      </c>
      <c r="C34">
        <f t="shared" si="4"/>
        <v>61.390113648700094</v>
      </c>
      <c r="D34">
        <f t="shared" si="5"/>
        <v>58.834608223168082</v>
      </c>
      <c r="E34">
        <f t="shared" si="6"/>
        <v>61.390113648700094</v>
      </c>
    </row>
    <row r="35" spans="1:5" x14ac:dyDescent="0.25">
      <c r="A35">
        <f t="shared" si="7"/>
        <v>120</v>
      </c>
      <c r="B35" s="7">
        <v>6.3E-5</v>
      </c>
      <c r="C35">
        <f t="shared" si="4"/>
        <v>65.623872865640109</v>
      </c>
      <c r="D35">
        <f t="shared" si="5"/>
        <v>63.068367440108098</v>
      </c>
      <c r="E35">
        <f t="shared" si="6"/>
        <v>65.623872865640109</v>
      </c>
    </row>
    <row r="36" spans="1:5" x14ac:dyDescent="0.25">
      <c r="A36">
        <f t="shared" si="7"/>
        <v>140</v>
      </c>
      <c r="B36" s="7">
        <v>4.6E-5</v>
      </c>
      <c r="C36">
        <f t="shared" si="4"/>
        <v>66.989700043360187</v>
      </c>
      <c r="D36">
        <f t="shared" si="5"/>
        <v>64.434194617828169</v>
      </c>
      <c r="E36">
        <f t="shared" si="6"/>
        <v>66.989700043360187</v>
      </c>
    </row>
    <row r="37" spans="1:5" x14ac:dyDescent="0.25">
      <c r="A37">
        <f t="shared" si="7"/>
        <v>160</v>
      </c>
      <c r="B37" s="7">
        <v>4.1499999999999999E-5</v>
      </c>
      <c r="C37">
        <f t="shared" si="4"/>
        <v>67.436797393055002</v>
      </c>
      <c r="D37">
        <f t="shared" si="5"/>
        <v>64.881291967522984</v>
      </c>
      <c r="E37">
        <f t="shared" si="6"/>
        <v>67.436797393055002</v>
      </c>
    </row>
    <row r="38" spans="1:5" x14ac:dyDescent="0.25">
      <c r="A38">
        <f t="shared" si="7"/>
        <v>180</v>
      </c>
      <c r="B38" s="7">
        <v>4.0000000000000003E-5</v>
      </c>
      <c r="C38">
        <f t="shared" si="4"/>
        <v>67.596678446896306</v>
      </c>
      <c r="D38">
        <f t="shared" si="5"/>
        <v>65.041173021364287</v>
      </c>
      <c r="E38">
        <f t="shared" si="6"/>
        <v>67.596678446896306</v>
      </c>
    </row>
    <row r="39" spans="1:5" x14ac:dyDescent="0.25">
      <c r="A39">
        <f t="shared" si="7"/>
        <v>200</v>
      </c>
      <c r="B39" s="7">
        <v>4.0000000000000003E-5</v>
      </c>
      <c r="C39">
        <f t="shared" si="4"/>
        <v>67.596678446896306</v>
      </c>
      <c r="D39">
        <f t="shared" si="5"/>
        <v>65.041173021364287</v>
      </c>
      <c r="E39">
        <f t="shared" si="6"/>
        <v>67.596678446896306</v>
      </c>
    </row>
    <row r="40" spans="1:5" x14ac:dyDescent="0.25">
      <c r="A40">
        <f t="shared" si="7"/>
        <v>220</v>
      </c>
      <c r="B40" s="7">
        <v>3.8999999999999999E-5</v>
      </c>
      <c r="C40">
        <f t="shared" si="4"/>
        <v>67.706632289910942</v>
      </c>
      <c r="D40">
        <f t="shared" si="5"/>
        <v>65.151126864378924</v>
      </c>
      <c r="E40">
        <f t="shared" si="6"/>
        <v>67.706632289910942</v>
      </c>
    </row>
    <row r="41" spans="1:5" x14ac:dyDescent="0.25">
      <c r="A41">
        <f t="shared" si="7"/>
        <v>240</v>
      </c>
      <c r="B41" s="7">
        <v>4.1E-5</v>
      </c>
      <c r="C41">
        <f t="shared" si="4"/>
        <v>67.489439792978573</v>
      </c>
      <c r="D41">
        <f t="shared" si="5"/>
        <v>64.933934367446554</v>
      </c>
      <c r="E41">
        <f t="shared" si="6"/>
        <v>67.489439792978573</v>
      </c>
    </row>
    <row r="42" spans="1:5" x14ac:dyDescent="0.25">
      <c r="A42">
        <f t="shared" si="7"/>
        <v>260</v>
      </c>
      <c r="B42" s="7">
        <v>3.8999999999999999E-5</v>
      </c>
      <c r="C42">
        <f t="shared" si="4"/>
        <v>67.706632289910942</v>
      </c>
      <c r="D42">
        <f t="shared" si="5"/>
        <v>65.151126864378924</v>
      </c>
      <c r="E42">
        <f t="shared" si="6"/>
        <v>67.706632289910942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54C4A-1793-4398-B2E7-4C9A55B61591}">
  <dimension ref="A1:A2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>
        <f>4*85</f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5.4.3 - Initial Measurement</vt:lpstr>
      <vt:lpstr>5.4.3 - 2nd measurement</vt:lpstr>
      <vt:lpstr>5.4.4</vt:lpstr>
      <vt:lpstr>5.5.2</vt:lpstr>
      <vt:lpstr>5.6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Talavera, Marc</dc:creator>
  <cp:lastModifiedBy>Talavera, Marc</cp:lastModifiedBy>
  <dcterms:created xsi:type="dcterms:W3CDTF">2024-11-08T08:08:11Z</dcterms:created>
  <dcterms:modified xsi:type="dcterms:W3CDTF">2024-11-08T11:23:42Z</dcterms:modified>
</cp:coreProperties>
</file>